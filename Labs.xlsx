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KHAI\2 semester\ASPPR-Labs\"/>
    </mc:Choice>
  </mc:AlternateContent>
  <xr:revisionPtr revIDLastSave="0" documentId="13_ncr:1_{31ACE702-6FED-4888-806A-79D76982FAF1}" xr6:coauthVersionLast="45" xr6:coauthVersionMax="45" xr10:uidLastSave="{00000000-0000-0000-0000-000000000000}"/>
  <bookViews>
    <workbookView xWindow="-120" yWindow="-120" windowWidth="24240" windowHeight="13140" activeTab="3" xr2:uid="{65BE1558-4BAB-4378-8996-D166A0893C9D}"/>
  </bookViews>
  <sheets>
    <sheet name="PartC" sheetId="1" r:id="rId1"/>
    <sheet name="PractD" sheetId="2" r:id="rId2"/>
    <sheet name="Lab_2" sheetId="3" r:id="rId3"/>
    <sheet name="Lab_5" sheetId="4" r:id="rId4"/>
  </sheets>
  <definedNames>
    <definedName name="solver_adj" localSheetId="3" hidden="1">Lab_5!$C$3:$F$5</definedName>
    <definedName name="solver_adj" localSheetId="0" hidden="1">PartC!$B$1:$E$1</definedName>
    <definedName name="solver_adj" localSheetId="1" hidden="1">PractD!$B$1:$E$1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3" hidden="1">1</definedName>
    <definedName name="solver_drv" localSheetId="0" hidden="1">2</definedName>
    <definedName name="solver_drv" localSheetId="1" hidden="1">2</definedName>
    <definedName name="solver_eng" localSheetId="3" hidden="1">2</definedName>
    <definedName name="solver_eng" localSheetId="0" hidden="1">2</definedName>
    <definedName name="solver_eng" localSheetId="1" hidden="1">2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3" hidden="1">Lab_5!$C$6:$F$6</definedName>
    <definedName name="solver_lhs1" localSheetId="0" hidden="1">PartC!$B$1:$E$1</definedName>
    <definedName name="solver_lhs1" localSheetId="1" hidden="1">PractD!$B$1:$E$1</definedName>
    <definedName name="solver_lhs2" localSheetId="3" hidden="1">Lab_5!$G$3:$G$5</definedName>
    <definedName name="solver_lhs2" localSheetId="0" hidden="1">PartC!$F$3</definedName>
    <definedName name="solver_lhs2" localSheetId="1" hidden="1">PractD!$B$1:$E$1</definedName>
    <definedName name="solver_lhs3" localSheetId="0" hidden="1">PartC!$F$4</definedName>
    <definedName name="solver_lhs3" localSheetId="1" hidden="1">PractD!$F$3</definedName>
    <definedName name="solver_lhs4" localSheetId="0" hidden="1">PartC!$F$5</definedName>
    <definedName name="solver_lhs4" localSheetId="1" hidden="1">PractD!$F$4</definedName>
    <definedName name="solver_lhs5" localSheetId="0" hidden="1">PartC!$F$6</definedName>
    <definedName name="solver_lhs5" localSheetId="1" hidden="1">PractD!$F$5</definedName>
    <definedName name="solver_lhs6" localSheetId="1" hidden="1">PractD!$F$6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3" hidden="1">1</definedName>
    <definedName name="solver_neg" localSheetId="0" hidden="1">2</definedName>
    <definedName name="solver_neg" localSheetId="1" hidden="1">2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3" hidden="1">2</definedName>
    <definedName name="solver_num" localSheetId="0" hidden="1">5</definedName>
    <definedName name="solver_num" localSheetId="1" hidden="1">6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3" hidden="1">Lab_5!$B$12</definedName>
    <definedName name="solver_opt" localSheetId="0" hidden="1">PartC!$G$7</definedName>
    <definedName name="solver_opt" localSheetId="1" hidden="1">PractD!$G$7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3" hidden="1">1</definedName>
    <definedName name="solver_rbv" localSheetId="0" hidden="1">2</definedName>
    <definedName name="solver_rbv" localSheetId="1" hidden="1">2</definedName>
    <definedName name="solver_rel1" localSheetId="3" hidden="1">2</definedName>
    <definedName name="solver_rel1" localSheetId="0" hidden="1">3</definedName>
    <definedName name="solver_rel1" localSheetId="1" hidden="1">4</definedName>
    <definedName name="solver_rel2" localSheetId="3" hidden="1">2</definedName>
    <definedName name="solver_rel2" localSheetId="0" hidden="1">2</definedName>
    <definedName name="solver_rel2" localSheetId="1" hidden="1">3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1" hidden="1">1</definedName>
    <definedName name="solver_rhs1" localSheetId="3" hidden="1">Lab_5!$C$2:$F$2</definedName>
    <definedName name="solver_rhs1" localSheetId="0" hidden="1">0</definedName>
    <definedName name="solver_rhs1" localSheetId="1" hidden="1">"ціле"</definedName>
    <definedName name="solver_rhs2" localSheetId="3" hidden="1">Lab_5!$B$3:$B$5</definedName>
    <definedName name="solver_rhs2" localSheetId="0" hidden="1">PartC!$G$3</definedName>
    <definedName name="solver_rhs2" localSheetId="1" hidden="1">0</definedName>
    <definedName name="solver_rhs3" localSheetId="0" hidden="1">PartC!$G$4</definedName>
    <definedName name="solver_rhs3" localSheetId="1" hidden="1">PractD!$G$3</definedName>
    <definedName name="solver_rhs4" localSheetId="0" hidden="1">PartC!$G$5</definedName>
    <definedName name="solver_rhs4" localSheetId="1" hidden="1">PractD!$G$4</definedName>
    <definedName name="solver_rhs5" localSheetId="0" hidden="1">PartC!$G$6</definedName>
    <definedName name="solver_rhs5" localSheetId="1" hidden="1">PractD!$G$5</definedName>
    <definedName name="solver_rhs6" localSheetId="1" hidden="1">PractD!$G$6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3" hidden="1">1</definedName>
    <definedName name="solver_scl" localSheetId="0" hidden="1">2</definedName>
    <definedName name="solver_scl" localSheetId="1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3" hidden="1">2</definedName>
    <definedName name="solver_typ" localSheetId="0" hidden="1">2</definedName>
    <definedName name="solver_typ" localSheetId="1" hidden="1">2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4" l="1"/>
  <c r="D6" i="4"/>
  <c r="E6" i="4"/>
  <c r="F6" i="4"/>
  <c r="C6" i="4"/>
  <c r="G4" i="4"/>
  <c r="G5" i="4"/>
  <c r="G3" i="4"/>
  <c r="G7" i="2" l="1"/>
  <c r="F6" i="2"/>
  <c r="F5" i="2"/>
  <c r="F4" i="2"/>
  <c r="F3" i="2"/>
  <c r="G7" i="1" l="1"/>
  <c r="F4" i="1"/>
  <c r="F5" i="1"/>
  <c r="F6" i="1"/>
  <c r="F3" i="1"/>
</calcChain>
</file>

<file path=xl/sharedStrings.xml><?xml version="1.0" encoding="utf-8"?>
<sst xmlns="http://schemas.openxmlformats.org/spreadsheetml/2006/main" count="62" uniqueCount="32">
  <si>
    <t>x1=</t>
  </si>
  <si>
    <t>x2=</t>
  </si>
  <si>
    <t>x3=</t>
  </si>
  <si>
    <t>x4</t>
  </si>
  <si>
    <t>y1</t>
  </si>
  <si>
    <t>y2</t>
  </si>
  <si>
    <t>y3</t>
  </si>
  <si>
    <t>Z=</t>
  </si>
  <si>
    <t>min</t>
  </si>
  <si>
    <t>Z`</t>
  </si>
  <si>
    <t>|-x1</t>
  </si>
  <si>
    <t>|-x2</t>
  </si>
  <si>
    <t>|-x3</t>
  </si>
  <si>
    <t>|-x4</t>
  </si>
  <si>
    <t>Вхідна симплекс-таблиця</t>
  </si>
  <si>
    <t>y4</t>
  </si>
  <si>
    <t>Формулювання двоїстої задачі (Lab_2)</t>
  </si>
  <si>
    <t>Вхідна симплекс-таблиця (Lab_1B)</t>
  </si>
  <si>
    <t>Формулювання прямої задачі (Lab_2)</t>
  </si>
  <si>
    <t>W=2u1-u2 -&gt; min</t>
  </si>
  <si>
    <t>v1=3u1+u2&gt;=2</t>
  </si>
  <si>
    <t>v2=-u1-2u2&gt;=1</t>
  </si>
  <si>
    <t>u2&gt;=0</t>
  </si>
  <si>
    <t>B1</t>
  </si>
  <si>
    <t>B2</t>
  </si>
  <si>
    <t>B3</t>
  </si>
  <si>
    <t>A1</t>
  </si>
  <si>
    <t>A2</t>
  </si>
  <si>
    <t>A3</t>
  </si>
  <si>
    <t>B4</t>
  </si>
  <si>
    <t>C=</t>
  </si>
  <si>
    <t>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</si>
</sst>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4" fillId="0" borderId="0" xfId="0" applyFont="1"/>
    <xf numFmtId="0" fontId="5" fillId="8" borderId="0" xfId="0" applyFont="1" applyFill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305098</xdr:colOff>
      <xdr:row>12</xdr:row>
      <xdr:rowOff>181080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144164-3F74-44E7-B874-A052F4C3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2133898" cy="75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11C5-626E-43F0-8F05-39323FFE33A2}">
  <dimension ref="A1:H16"/>
  <sheetViews>
    <sheetView zoomScaleNormal="100" workbookViewId="0">
      <selection activeCell="G7" sqref="G7"/>
    </sheetView>
  </sheetViews>
  <sheetFormatPr defaultRowHeight="15" x14ac:dyDescent="0.25"/>
  <sheetData>
    <row r="1" spans="1:8" x14ac:dyDescent="0.25">
      <c r="B1" s="2">
        <v>2</v>
      </c>
      <c r="C1" s="2">
        <v>0</v>
      </c>
      <c r="D1" s="2">
        <v>0</v>
      </c>
      <c r="E1" s="2">
        <v>0</v>
      </c>
    </row>
    <row r="2" spans="1:8" x14ac:dyDescent="0.25">
      <c r="B2" s="3" t="s">
        <v>0</v>
      </c>
      <c r="C2" s="3" t="s">
        <v>1</v>
      </c>
      <c r="D2" s="3" t="s">
        <v>2</v>
      </c>
      <c r="E2" s="3" t="s">
        <v>3</v>
      </c>
    </row>
    <row r="3" spans="1:8" x14ac:dyDescent="0.25">
      <c r="A3" s="1">
        <v>0</v>
      </c>
      <c r="B3" s="6">
        <v>1</v>
      </c>
      <c r="C3" s="6">
        <v>-1</v>
      </c>
      <c r="D3" s="6">
        <v>1</v>
      </c>
      <c r="E3" s="6">
        <v>1</v>
      </c>
      <c r="F3" s="5">
        <f>SUMPRODUCT(B3:E3,$B$1:$E$1)</f>
        <v>2</v>
      </c>
      <c r="G3" s="9">
        <v>2</v>
      </c>
    </row>
    <row r="4" spans="1:8" x14ac:dyDescent="0.25">
      <c r="A4" s="1" t="s">
        <v>4</v>
      </c>
      <c r="B4" s="6">
        <v>1</v>
      </c>
      <c r="C4" s="6">
        <v>1</v>
      </c>
      <c r="D4" s="6">
        <v>1</v>
      </c>
      <c r="E4" s="6">
        <v>-1</v>
      </c>
      <c r="F4" s="5">
        <f t="shared" ref="F4:F6" si="0">SUMPRODUCT(B4:E4,$B$1:$E$1)</f>
        <v>2</v>
      </c>
      <c r="G4" s="9">
        <v>2</v>
      </c>
    </row>
    <row r="5" spans="1:8" x14ac:dyDescent="0.25">
      <c r="A5" s="1" t="s">
        <v>5</v>
      </c>
      <c r="B5" s="6">
        <v>-1</v>
      </c>
      <c r="C5" s="6">
        <v>1</v>
      </c>
      <c r="D5" s="6">
        <v>1</v>
      </c>
      <c r="E5" s="6">
        <v>1</v>
      </c>
      <c r="F5" s="5">
        <f t="shared" si="0"/>
        <v>-2</v>
      </c>
      <c r="G5" s="9">
        <v>2</v>
      </c>
    </row>
    <row r="6" spans="1:8" x14ac:dyDescent="0.25">
      <c r="A6" s="1" t="s">
        <v>6</v>
      </c>
      <c r="B6" s="6">
        <v>1</v>
      </c>
      <c r="C6" s="6">
        <v>1</v>
      </c>
      <c r="D6" s="6">
        <v>-1</v>
      </c>
      <c r="E6" s="6">
        <v>1</v>
      </c>
      <c r="F6" s="5">
        <f t="shared" si="0"/>
        <v>2</v>
      </c>
      <c r="G6" s="9">
        <v>2</v>
      </c>
    </row>
    <row r="7" spans="1:8" x14ac:dyDescent="0.25">
      <c r="A7" s="1" t="s">
        <v>7</v>
      </c>
      <c r="B7" s="7">
        <v>-1</v>
      </c>
      <c r="C7" s="7">
        <v>-3</v>
      </c>
      <c r="D7" s="7">
        <v>5</v>
      </c>
      <c r="E7" s="7">
        <v>4</v>
      </c>
      <c r="F7" s="4"/>
      <c r="G7" s="8">
        <f>SUMPRODUCT(B7:E7,B1:E1)</f>
        <v>-2</v>
      </c>
      <c r="H7" s="10" t="s">
        <v>8</v>
      </c>
    </row>
    <row r="10" spans="1:8" x14ac:dyDescent="0.25">
      <c r="A10" s="15" t="s">
        <v>14</v>
      </c>
      <c r="B10" s="15"/>
      <c r="C10" s="15"/>
      <c r="D10" s="15"/>
      <c r="E10" s="15"/>
      <c r="F10" s="15"/>
    </row>
    <row r="11" spans="1:8" x14ac:dyDescent="0.25">
      <c r="B11" t="s">
        <v>10</v>
      </c>
      <c r="C11" t="s">
        <v>11</v>
      </c>
      <c r="D11" t="s">
        <v>12</v>
      </c>
      <c r="E11" t="s">
        <v>13</v>
      </c>
      <c r="F11">
        <v>1</v>
      </c>
    </row>
    <row r="12" spans="1:8" x14ac:dyDescent="0.25">
      <c r="A12">
        <v>0</v>
      </c>
      <c r="B12">
        <v>1</v>
      </c>
      <c r="C12">
        <v>-1</v>
      </c>
      <c r="D12">
        <v>1</v>
      </c>
      <c r="E12">
        <v>1</v>
      </c>
      <c r="F12">
        <v>2</v>
      </c>
    </row>
    <row r="13" spans="1:8" x14ac:dyDescent="0.25">
      <c r="A13" s="11" t="s">
        <v>4</v>
      </c>
      <c r="B13">
        <v>1</v>
      </c>
      <c r="C13">
        <v>1</v>
      </c>
      <c r="D13">
        <v>1</v>
      </c>
      <c r="E13">
        <v>-1</v>
      </c>
      <c r="F13">
        <v>2</v>
      </c>
    </row>
    <row r="14" spans="1:8" x14ac:dyDescent="0.25">
      <c r="A14" s="11" t="s">
        <v>5</v>
      </c>
      <c r="B14">
        <v>-1</v>
      </c>
      <c r="C14">
        <v>1</v>
      </c>
      <c r="D14">
        <v>1</v>
      </c>
      <c r="E14">
        <v>1</v>
      </c>
      <c r="F14">
        <v>2</v>
      </c>
    </row>
    <row r="15" spans="1:8" x14ac:dyDescent="0.25">
      <c r="A15" s="11" t="s">
        <v>6</v>
      </c>
      <c r="B15">
        <v>1</v>
      </c>
      <c r="C15">
        <v>1</v>
      </c>
      <c r="D15">
        <v>-1</v>
      </c>
      <c r="E15">
        <v>1</v>
      </c>
      <c r="F15">
        <v>2</v>
      </c>
    </row>
    <row r="16" spans="1:8" x14ac:dyDescent="0.25">
      <c r="A16" s="11" t="s">
        <v>9</v>
      </c>
      <c r="B16">
        <v>-1</v>
      </c>
      <c r="C16">
        <v>-3</v>
      </c>
      <c r="D16">
        <v>5</v>
      </c>
      <c r="E16">
        <v>4</v>
      </c>
      <c r="F16">
        <v>0</v>
      </c>
    </row>
  </sheetData>
  <mergeCells count="1"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338A-BE43-46BF-B04F-E653862170B8}">
  <dimension ref="A1:H16"/>
  <sheetViews>
    <sheetView workbookViewId="0">
      <selection activeCell="A10" sqref="A10:F16"/>
    </sheetView>
  </sheetViews>
  <sheetFormatPr defaultRowHeight="15" x14ac:dyDescent="0.25"/>
  <sheetData>
    <row r="1" spans="1:8" x14ac:dyDescent="0.25">
      <c r="B1" s="2">
        <v>0</v>
      </c>
      <c r="C1" s="2">
        <v>2</v>
      </c>
      <c r="D1" s="2">
        <v>0</v>
      </c>
      <c r="E1" s="2">
        <v>0</v>
      </c>
    </row>
    <row r="2" spans="1:8" x14ac:dyDescent="0.25">
      <c r="B2" s="3" t="s">
        <v>0</v>
      </c>
      <c r="C2" s="3" t="s">
        <v>1</v>
      </c>
      <c r="D2" s="3" t="s">
        <v>2</v>
      </c>
      <c r="E2" s="3" t="s">
        <v>3</v>
      </c>
    </row>
    <row r="3" spans="1:8" x14ac:dyDescent="0.25">
      <c r="A3" s="1">
        <v>0</v>
      </c>
      <c r="B3" s="6">
        <v>1</v>
      </c>
      <c r="C3" s="6">
        <v>-1</v>
      </c>
      <c r="D3" s="6">
        <v>1</v>
      </c>
      <c r="E3" s="6">
        <v>1</v>
      </c>
      <c r="F3" s="5">
        <f>SUMPRODUCT(B3:E3,$B$1:$E$1)</f>
        <v>-2</v>
      </c>
      <c r="G3" s="9">
        <v>2</v>
      </c>
    </row>
    <row r="4" spans="1:8" x14ac:dyDescent="0.25">
      <c r="A4" s="1" t="s">
        <v>4</v>
      </c>
      <c r="B4" s="6">
        <v>1</v>
      </c>
      <c r="C4" s="6">
        <v>1</v>
      </c>
      <c r="D4" s="6">
        <v>1</v>
      </c>
      <c r="E4" s="6">
        <v>-1</v>
      </c>
      <c r="F4" s="5">
        <f t="shared" ref="F4:F6" si="0">SUMPRODUCT(B4:E4,$B$1:$E$1)</f>
        <v>2</v>
      </c>
      <c r="G4" s="9">
        <v>2</v>
      </c>
    </row>
    <row r="5" spans="1:8" x14ac:dyDescent="0.25">
      <c r="A5" s="1" t="s">
        <v>5</v>
      </c>
      <c r="B5" s="6">
        <v>-1</v>
      </c>
      <c r="C5" s="6">
        <v>1</v>
      </c>
      <c r="D5" s="6">
        <v>1</v>
      </c>
      <c r="E5" s="6">
        <v>1</v>
      </c>
      <c r="F5" s="5">
        <f t="shared" si="0"/>
        <v>2</v>
      </c>
      <c r="G5" s="9">
        <v>2</v>
      </c>
    </row>
    <row r="6" spans="1:8" x14ac:dyDescent="0.25">
      <c r="A6" s="1" t="s">
        <v>6</v>
      </c>
      <c r="B6" s="6">
        <v>1</v>
      </c>
      <c r="C6" s="6">
        <v>1</v>
      </c>
      <c r="D6" s="6">
        <v>-1</v>
      </c>
      <c r="E6" s="6">
        <v>1</v>
      </c>
      <c r="F6" s="5">
        <f t="shared" si="0"/>
        <v>2</v>
      </c>
      <c r="G6" s="9">
        <v>2</v>
      </c>
    </row>
    <row r="7" spans="1:8" x14ac:dyDescent="0.25">
      <c r="A7" s="1" t="s">
        <v>7</v>
      </c>
      <c r="B7" s="7">
        <v>-1</v>
      </c>
      <c r="C7" s="7">
        <v>-3</v>
      </c>
      <c r="D7" s="7">
        <v>5</v>
      </c>
      <c r="E7" s="7">
        <v>4</v>
      </c>
      <c r="F7" s="4"/>
      <c r="G7" s="8">
        <f>SUMPRODUCT(B7:E7,B1:E1)</f>
        <v>-6</v>
      </c>
      <c r="H7" s="10" t="s">
        <v>8</v>
      </c>
    </row>
    <row r="10" spans="1:8" x14ac:dyDescent="0.25">
      <c r="A10" s="16" t="s">
        <v>14</v>
      </c>
      <c r="B10" s="16"/>
      <c r="C10" s="16"/>
      <c r="D10" s="16"/>
      <c r="E10" s="16"/>
      <c r="F10" s="16"/>
    </row>
    <row r="11" spans="1:8" x14ac:dyDescent="0.25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>
        <v>1</v>
      </c>
    </row>
    <row r="12" spans="1:8" x14ac:dyDescent="0.25">
      <c r="A12" s="12" t="s">
        <v>4</v>
      </c>
      <c r="B12" s="4">
        <v>1</v>
      </c>
      <c r="C12" s="4">
        <v>-1</v>
      </c>
      <c r="D12" s="4">
        <v>1</v>
      </c>
      <c r="E12" s="4">
        <v>1</v>
      </c>
      <c r="F12" s="4">
        <v>2</v>
      </c>
    </row>
    <row r="13" spans="1:8" x14ac:dyDescent="0.25">
      <c r="A13" s="12" t="s">
        <v>5</v>
      </c>
      <c r="B13" s="4">
        <v>1</v>
      </c>
      <c r="C13" s="4">
        <v>1</v>
      </c>
      <c r="D13" s="4">
        <v>1</v>
      </c>
      <c r="E13" s="4">
        <v>-1</v>
      </c>
      <c r="F13" s="4">
        <v>2</v>
      </c>
    </row>
    <row r="14" spans="1:8" x14ac:dyDescent="0.25">
      <c r="A14" s="12" t="s">
        <v>6</v>
      </c>
      <c r="B14" s="4">
        <v>-1</v>
      </c>
      <c r="C14" s="4">
        <v>1</v>
      </c>
      <c r="D14" s="4">
        <v>1</v>
      </c>
      <c r="E14" s="4">
        <v>1</v>
      </c>
      <c r="F14" s="4">
        <v>2</v>
      </c>
    </row>
    <row r="15" spans="1:8" x14ac:dyDescent="0.25">
      <c r="A15" s="12" t="s">
        <v>15</v>
      </c>
      <c r="B15" s="4">
        <v>1</v>
      </c>
      <c r="C15" s="4">
        <v>1</v>
      </c>
      <c r="D15" s="4">
        <v>-1</v>
      </c>
      <c r="E15" s="4">
        <v>1</v>
      </c>
      <c r="F15" s="4">
        <v>2</v>
      </c>
    </row>
    <row r="16" spans="1:8" x14ac:dyDescent="0.25">
      <c r="A16" s="12" t="s">
        <v>9</v>
      </c>
      <c r="B16" s="4">
        <v>-1</v>
      </c>
      <c r="C16" s="4">
        <v>-3</v>
      </c>
      <c r="D16" s="4">
        <v>5</v>
      </c>
      <c r="E16" s="4">
        <v>4</v>
      </c>
      <c r="F16" s="4">
        <v>0</v>
      </c>
    </row>
  </sheetData>
  <mergeCells count="1"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F516-7B01-4ABB-AFB8-30960710DAFD}">
  <dimension ref="A1:H13"/>
  <sheetViews>
    <sheetView workbookViewId="0">
      <selection activeCell="N11" sqref="N11"/>
    </sheetView>
  </sheetViews>
  <sheetFormatPr defaultRowHeight="15" x14ac:dyDescent="0.25"/>
  <sheetData>
    <row r="1" spans="1:8" x14ac:dyDescent="0.25">
      <c r="A1" s="16" t="s">
        <v>17</v>
      </c>
      <c r="B1" s="16"/>
      <c r="C1" s="16"/>
      <c r="D1" s="16"/>
      <c r="E1" s="16"/>
      <c r="F1" s="16"/>
    </row>
    <row r="2" spans="1:8" x14ac:dyDescent="0.25">
      <c r="A2" s="4"/>
      <c r="B2" s="4" t="s">
        <v>10</v>
      </c>
      <c r="C2" s="4" t="s">
        <v>11</v>
      </c>
      <c r="D2" s="4" t="s">
        <v>12</v>
      </c>
      <c r="E2" s="4" t="s">
        <v>13</v>
      </c>
      <c r="F2" s="4">
        <v>1</v>
      </c>
    </row>
    <row r="3" spans="1:8" x14ac:dyDescent="0.25">
      <c r="A3" s="12" t="s">
        <v>4</v>
      </c>
      <c r="B3" s="4">
        <v>1</v>
      </c>
      <c r="C3" s="4">
        <v>-1</v>
      </c>
      <c r="D3" s="4">
        <v>1</v>
      </c>
      <c r="E3" s="4">
        <v>1</v>
      </c>
      <c r="F3" s="4">
        <v>2</v>
      </c>
    </row>
    <row r="4" spans="1:8" x14ac:dyDescent="0.25">
      <c r="A4" s="12" t="s">
        <v>5</v>
      </c>
      <c r="B4" s="4">
        <v>1</v>
      </c>
      <c r="C4" s="4">
        <v>1</v>
      </c>
      <c r="D4" s="4">
        <v>1</v>
      </c>
      <c r="E4" s="4">
        <v>-1</v>
      </c>
      <c r="F4" s="4">
        <v>2</v>
      </c>
    </row>
    <row r="5" spans="1:8" x14ac:dyDescent="0.25">
      <c r="A5" s="12" t="s">
        <v>6</v>
      </c>
      <c r="B5" s="4">
        <v>-1</v>
      </c>
      <c r="C5" s="4">
        <v>1</v>
      </c>
      <c r="D5" s="4">
        <v>1</v>
      </c>
      <c r="E5" s="4">
        <v>1</v>
      </c>
      <c r="F5" s="4">
        <v>2</v>
      </c>
    </row>
    <row r="6" spans="1:8" x14ac:dyDescent="0.25">
      <c r="A6" s="12" t="s">
        <v>15</v>
      </c>
      <c r="B6" s="4">
        <v>1</v>
      </c>
      <c r="C6" s="4">
        <v>1</v>
      </c>
      <c r="D6" s="4">
        <v>-1</v>
      </c>
      <c r="E6" s="4">
        <v>1</v>
      </c>
      <c r="F6" s="4">
        <v>2</v>
      </c>
    </row>
    <row r="7" spans="1:8" x14ac:dyDescent="0.25">
      <c r="A7" s="12" t="s">
        <v>9</v>
      </c>
      <c r="B7" s="4">
        <v>-1</v>
      </c>
      <c r="C7" s="4">
        <v>-3</v>
      </c>
      <c r="D7" s="4">
        <v>5</v>
      </c>
      <c r="E7" s="4">
        <v>4</v>
      </c>
      <c r="F7" s="4">
        <v>0</v>
      </c>
    </row>
    <row r="9" spans="1:8" x14ac:dyDescent="0.25">
      <c r="A9" s="14" t="s">
        <v>18</v>
      </c>
      <c r="H9" s="14" t="s">
        <v>16</v>
      </c>
    </row>
    <row r="10" spans="1:8" x14ac:dyDescent="0.25">
      <c r="H10" t="s">
        <v>19</v>
      </c>
    </row>
    <row r="11" spans="1:8" x14ac:dyDescent="0.25">
      <c r="H11" t="s">
        <v>20</v>
      </c>
    </row>
    <row r="12" spans="1:8" x14ac:dyDescent="0.25">
      <c r="H12" t="s">
        <v>21</v>
      </c>
    </row>
    <row r="13" spans="1:8" x14ac:dyDescent="0.25">
      <c r="H13" t="s">
        <v>22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3001-4B4A-4038-9F62-4FBBAA13DA25}">
  <dimension ref="A1:G13"/>
  <sheetViews>
    <sheetView tabSelected="1" workbookViewId="0">
      <selection activeCell="B12" sqref="B12"/>
    </sheetView>
  </sheetViews>
  <sheetFormatPr defaultRowHeight="15" x14ac:dyDescent="0.25"/>
  <sheetData>
    <row r="1" spans="1:7" x14ac:dyDescent="0.25">
      <c r="C1" s="18" t="s">
        <v>23</v>
      </c>
      <c r="D1" s="18" t="s">
        <v>24</v>
      </c>
      <c r="E1" s="18" t="s">
        <v>25</v>
      </c>
      <c r="F1" s="18" t="s">
        <v>29</v>
      </c>
    </row>
    <row r="2" spans="1:7" x14ac:dyDescent="0.25">
      <c r="C2" s="19">
        <v>115</v>
      </c>
      <c r="D2" s="19">
        <v>90</v>
      </c>
      <c r="E2" s="19">
        <v>125</v>
      </c>
      <c r="F2" s="19">
        <v>75</v>
      </c>
    </row>
    <row r="3" spans="1:7" x14ac:dyDescent="0.25">
      <c r="A3" s="18" t="s">
        <v>26</v>
      </c>
      <c r="B3" s="20">
        <v>130</v>
      </c>
      <c r="C3" s="22">
        <v>115</v>
      </c>
      <c r="D3" s="22">
        <v>10</v>
      </c>
      <c r="E3" s="22">
        <v>5</v>
      </c>
      <c r="F3" s="22">
        <v>0</v>
      </c>
      <c r="G3">
        <f>SUM(C3:F3)</f>
        <v>130</v>
      </c>
    </row>
    <row r="4" spans="1:7" x14ac:dyDescent="0.25">
      <c r="A4" s="18" t="s">
        <v>27</v>
      </c>
      <c r="B4" s="20">
        <v>80</v>
      </c>
      <c r="C4" s="22">
        <v>0</v>
      </c>
      <c r="D4" s="22">
        <v>80</v>
      </c>
      <c r="E4" s="22">
        <v>0</v>
      </c>
      <c r="F4" s="22">
        <v>0</v>
      </c>
      <c r="G4">
        <f t="shared" ref="G4:G5" si="0">SUM(C4:F4)</f>
        <v>80</v>
      </c>
    </row>
    <row r="5" spans="1:7" x14ac:dyDescent="0.25">
      <c r="A5" s="18" t="s">
        <v>28</v>
      </c>
      <c r="B5" s="20">
        <v>195</v>
      </c>
      <c r="C5" s="22">
        <v>0</v>
      </c>
      <c r="D5" s="22">
        <v>0</v>
      </c>
      <c r="E5" s="22">
        <v>120</v>
      </c>
      <c r="F5" s="22">
        <v>75</v>
      </c>
      <c r="G5">
        <f t="shared" si="0"/>
        <v>195</v>
      </c>
    </row>
    <row r="6" spans="1:7" x14ac:dyDescent="0.25">
      <c r="C6" s="17">
        <f>SUM(C3:C5)</f>
        <v>115</v>
      </c>
      <c r="D6" s="17">
        <f t="shared" ref="D6:F6" si="1">SUM(D3:D5)</f>
        <v>90</v>
      </c>
      <c r="E6" s="17">
        <f t="shared" si="1"/>
        <v>125</v>
      </c>
      <c r="F6" s="17">
        <f t="shared" si="1"/>
        <v>75</v>
      </c>
    </row>
    <row r="8" spans="1:7" x14ac:dyDescent="0.25">
      <c r="B8" s="21">
        <v>5</v>
      </c>
      <c r="C8" s="13">
        <v>7</v>
      </c>
      <c r="D8" s="13">
        <v>8</v>
      </c>
      <c r="E8" s="13">
        <v>9</v>
      </c>
    </row>
    <row r="9" spans="1:7" x14ac:dyDescent="0.25">
      <c r="A9" s="1" t="s">
        <v>30</v>
      </c>
      <c r="B9" s="21">
        <v>6</v>
      </c>
      <c r="C9" s="13">
        <v>2</v>
      </c>
      <c r="D9" s="13">
        <v>4</v>
      </c>
      <c r="E9" s="13">
        <v>10</v>
      </c>
    </row>
    <row r="10" spans="1:7" x14ac:dyDescent="0.25">
      <c r="B10" s="21">
        <v>4</v>
      </c>
      <c r="C10" s="13">
        <v>3</v>
      </c>
      <c r="D10" s="13">
        <v>3</v>
      </c>
      <c r="E10" s="13">
        <v>4</v>
      </c>
    </row>
    <row r="12" spans="1:7" x14ac:dyDescent="0.25">
      <c r="A12" s="1" t="s">
        <v>31</v>
      </c>
      <c r="B12" s="24">
        <f>SUMPRODUCT(C3:F5, B8:E10)</f>
        <v>1505</v>
      </c>
    </row>
    <row r="13" spans="1:7" x14ac:dyDescent="0.25">
      <c r="B1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PartC</vt:lpstr>
      <vt:lpstr>PractD</vt:lpstr>
      <vt:lpstr>Lab_2</vt:lpstr>
      <vt:lpstr>Lab_5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2026-03-25T19:52:15Z</dcterms:created>
  <dcterms:modified xsi:type="dcterms:W3CDTF">2026-05-04T15:44:47Z</dcterms:modified>
</cp:coreProperties>
</file>